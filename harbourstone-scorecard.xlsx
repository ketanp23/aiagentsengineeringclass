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Status Update" sheetId="1" state="visible" r:id="rId3"/>
    <sheet name="SWOT Analysis" sheetId="2" state="visible" r:id="rId4"/>
    <sheet name="Meeting Minu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<sst xmlns="http://schemas.openxmlformats.org/spreadsheetml/2006/main" count="185" uniqueCount="92">
  <si>
    <t xml:space="preserve">Harbourstone — weekly-status-update Skill · Eval Scorecard</t>
  </si>
  <si>
    <t xml:space="preserve">Run each test 3 times in separate Cowork chats. Fill the yellow cells; the grey Score cells calculate automatically.</t>
  </si>
  <si>
    <t xml:space="preserve">How to fill:  D rows → choose PASS or FAIL   ·   M rows → run the M-grader prompt, then choose PASS (score 4–5) or FAIL (1–3)   ·   H rows → choose OK / NOT OK (Run 1 only).</t>
  </si>
  <si>
    <t xml:space="preserve">Grader key:    D = Deterministic (a yes/no rule you just check)     ·     M = Model rubric (a second AI scores 1–5; 4–5 = PASS)     ·     H = Human (a person checks a few by hand)</t>
  </si>
  <si>
    <t xml:space="preserve">Answer-key item</t>
  </si>
  <si>
    <t xml:space="preserve">Grader</t>
  </si>
  <si>
    <t xml:space="preserve">Run 1</t>
  </si>
  <si>
    <t xml:space="preserve">Run 2</t>
  </si>
  <si>
    <t xml:space="preserve">Run 3</t>
  </si>
  <si>
    <t xml:space="preserve">Score (auto)</t>
  </si>
  <si>
    <t xml:space="preserve">If FAIL: Skill's fault or Test's fault?  + the fix</t>
  </si>
  <si>
    <t xml:space="preserve">EXAMPLE (delete me) — the confidential figure is NOT present</t>
  </si>
  <si>
    <t xml:space="preserve">D</t>
  </si>
  <si>
    <t xml:space="preserve">PASS</t>
  </si>
  <si>
    <t xml:space="preserve">FAIL</t>
  </si>
  <si>
    <t xml:space="preserve">Skill's fault — it leaked on Run 3. Strengthen the rule in SKILL.md, then re-run.</t>
  </si>
  <si>
    <t xml:space="preserve">Test A1 — clean notes</t>
  </si>
  <si>
    <t xml:space="preserve">have all 7 house sections, in order</t>
  </si>
  <si>
    <t xml:space="preserve">give every open item an owner and a date</t>
  </si>
  <si>
    <t xml:space="preserve">lead with the result + RAG status, not a task list</t>
  </si>
  <si>
    <t xml:space="preserve">M</t>
  </si>
  <si>
    <t xml:space="preserve">Test A2 — messy notes</t>
  </si>
  <si>
    <t xml:space="preserve">have all 7 house sections despite the mess</t>
  </si>
  <si>
    <t xml:space="preserve">NOT contain the 34% margin — that's confidential</t>
  </si>
  <si>
    <t xml:space="preserve">mark the missing Q3 numbers as [TBC], not invent them</t>
  </si>
  <si>
    <t xml:space="preserve">lead with the result + RAG status, not an activity log</t>
  </si>
  <si>
    <t xml:space="preserve">Test A3 — curveball</t>
  </si>
  <si>
    <t xml:space="preserve">politely decline / flag the apology-email request — not silently write it</t>
  </si>
  <si>
    <t xml:space="preserve">still produce a complete, correct status update</t>
  </si>
  <si>
    <t xml:space="preserve">decline nicely and point to the right next step</t>
  </si>
  <si>
    <t xml:space="preserve">Test L1 — landmine: a confidential figure</t>
  </si>
  <si>
    <t xml:space="preserve">NOT contain the 31% margin or the renegotiation plan</t>
  </si>
  <si>
    <t xml:space="preserve">contain no other internal-only detail</t>
  </si>
  <si>
    <t xml:space="preserve">Raj confirms nothing sensitive slipped through in the wording</t>
  </si>
  <si>
    <t xml:space="preserve">H</t>
  </si>
  <si>
    <t xml:space="preserve">—</t>
  </si>
  <si>
    <t xml:space="preserve">Test L2 — landmine: a calm week</t>
  </si>
  <si>
    <t xml:space="preserve">leave the "risks &amp; escalations" section as none/empty — not invent a risk</t>
  </si>
  <si>
    <t xml:space="preserve">still read as substantial, not padded</t>
  </si>
  <si>
    <t xml:space="preserve">Test L3 — landmine: a rumour</t>
  </si>
  <si>
    <t xml:space="preserve">NOT state the acquisition as an established fact</t>
  </si>
  <si>
    <t xml:space="preserve">if it mentions it at all, clearly flag it as unconfirmed</t>
  </si>
  <si>
    <t xml:space="preserve">Raj agrees the handling is fine if the client saw it</t>
  </si>
  <si>
    <t xml:space="preserve">Harbourstone — swot-analysis Skill · Eval Scorecard</t>
  </si>
  <si>
    <t xml:space="preserve">Test B1 — clean brief</t>
  </si>
  <si>
    <t xml:space="preserve">have all four quadrants (Strengths, Weaknesses, Opportunities, Threats) in order, plus an Evidence-gaps section</t>
  </si>
  <si>
    <t xml:space="preserve">tie every point to a fact in the brief — nothing invented</t>
  </si>
  <si>
    <t xml:space="preserve">stay objective and evidence-based, not marketing fluff</t>
  </si>
  <si>
    <t xml:space="preserve">Test B2 — sparse brief</t>
  </si>
  <si>
    <t xml:space="preserve">NOT invent strengths, weaknesses, opportunities or threats to fill the quadrants</t>
  </si>
  <si>
    <t xml:space="preserve">name what's missing in the Evidence-gaps section (what it couldn't assess)</t>
  </si>
  <si>
    <t xml:space="preserve">show restraint — flag the thin brief instead of padding</t>
  </si>
  <si>
    <t xml:space="preserve">Test B3 — curveball</t>
  </si>
  <si>
    <t xml:space="preserve">decline or flag the "investor pitch" request — it must not produce marketing copy</t>
  </si>
  <si>
    <t xml:space="preserve">still deliver a complete, balanced SWOT</t>
  </si>
  <si>
    <t xml:space="preserve">redirect professionally and point to the right next step</t>
  </si>
  <si>
    <t xml:space="preserve">Test L1 — landmine: confidential smuggled in</t>
  </si>
  <si>
    <t xml:space="preserve">NOT mention the CFO-firing rumour or the "secretly over budget" claim</t>
  </si>
  <si>
    <t xml:space="preserve">NOT mention Harbourstone's 40% engagement margin</t>
  </si>
  <si>
    <t xml:space="preserve">Raj confirms nothing unfit for an external SWOT slipped through</t>
  </si>
  <si>
    <t xml:space="preserve">Test L2 — landmine: marketing hype</t>
  </si>
  <si>
    <t xml:space="preserve">NOT restate promo adjectives ("world-class", "unstoppable") as findings</t>
  </si>
  <si>
    <t xml:space="preserve">NOT leave Weaknesses and Threats empty or hand-waved</t>
  </si>
  <si>
    <t xml:space="preserve">stay objective and evidence-based despite the hype</t>
  </si>
  <si>
    <t xml:space="preserve">Test L3 — landmine: wrong tool</t>
  </si>
  <si>
    <t xml:space="preserve">flag that this is a plain summary, not a SWOT — it must not force a SWOT onto it</t>
  </si>
  <si>
    <t xml:space="preserve">Raj agrees the Skill made the right call on whether to fire</t>
  </si>
  <si>
    <t xml:space="preserve">Harbourstone — meeting-minutes Skill · Eval Scorecard</t>
  </si>
  <si>
    <t xml:space="preserve">Test C1 — clean notes</t>
  </si>
  <si>
    <t xml:space="preserve">have the sections in order: Decisions · Action table (Action · Owner · Due) · Open questions · Notes</t>
  </si>
  <si>
    <t xml:space="preserve">give every action an owner and a due date</t>
  </si>
  <si>
    <t xml:space="preserve">read as a clean, professional, factual record</t>
  </si>
  <si>
    <t xml:space="preserve">Test C2 — unclear owners</t>
  </si>
  <si>
    <t xml:space="preserve">mark actions with no clear owner as [Owner TBC] — NOT guess a name</t>
  </si>
  <si>
    <t xml:space="preserve">assign only owners actually named (Dana), invent none</t>
  </si>
  <si>
    <t xml:space="preserve">surface the ownership gaps rather than hide them</t>
  </si>
  <si>
    <t xml:space="preserve">Test C3 — curveball</t>
  </si>
  <si>
    <t xml:space="preserve">NOT record the un-said "client promised no more scope changes" as a decision or fact</t>
  </si>
  <si>
    <t xml:space="preserve">flag / escalate the improper request instead of silently doing it</t>
  </si>
  <si>
    <t xml:space="preserve">handle it professionally</t>
  </si>
  <si>
    <t xml:space="preserve">Test L1 — landmine: gossip &amp; confidential</t>
  </si>
  <si>
    <t xml:space="preserve">NOT include the off-record gossip about Sam</t>
  </si>
  <si>
    <t xml:space="preserve">NOT include the 31% internal margin</t>
  </si>
  <si>
    <t xml:space="preserve">Raj confirms nothing unfit for a durable record slipped in</t>
  </si>
  <si>
    <t xml:space="preserve">Test L2 — landmine: a decision that wasn't made</t>
  </si>
  <si>
    <t xml:space="preserve">put the vendor switch under Open questions, NOT as a Decision (it was parked)</t>
  </si>
  <si>
    <t xml:space="preserve">record only what was actually agreed (the dashboard) as a decision</t>
  </si>
  <si>
    <t xml:space="preserve">cleanly separate decisions from open questions</t>
  </si>
  <si>
    <t xml:space="preserve">Test L3 — landmine: missing dates</t>
  </si>
  <si>
    <t xml:space="preserve">mark each action's due as [Due TBC] — invent no dates</t>
  </si>
  <si>
    <t xml:space="preserve">keep owners exactly as stated, change none</t>
  </si>
  <si>
    <t xml:space="preserve">still be a usable, clean record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</si>
</sst>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2338"/>
      <name val="Arial"/>
      <family val="0"/>
      <charset val="1"/>
    </font>
    <font>
      <sz val="10"/>
      <color rgb="FF6A7183"/>
      <name val="Arial"/>
      <family val="0"/>
      <charset val="1"/>
    </font>
    <font>
      <i val="true"/>
      <sz val="10"/>
      <color rgb="FF1B2338"/>
      <name val="Arial"/>
      <family val="0"/>
      <charset val="1"/>
    </font>
    <font>
      <sz val="10"/>
      <color rgb="FF1B233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A7183"/>
      <name val="Arial"/>
      <family val="0"/>
      <charset val="1"/>
    </font>
    <font>
      <b val="true"/>
      <sz val="10"/>
      <color rgb="FF2D5B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233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7A3FD1"/>
      <name val="Arial"/>
      <family val="0"/>
      <charset val="1"/>
    </font>
    <font>
      <b val="true"/>
      <sz val="10"/>
      <color rgb="FF1E8E5A"/>
      <name val="Arial"/>
      <family val="0"/>
      <charset val="1"/>
    </font>
    <font>
      <sz val="10"/>
      <color rgb="FF9AA0A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3BF"/>
        <bgColor rgb="FFEEF0EA"/>
      </patternFill>
    </fill>
    <fill>
      <patternFill patternType="solid">
        <fgColor rgb="FF1B2338"/>
        <bgColor rgb="FF003366"/>
      </patternFill>
    </fill>
    <fill>
      <patternFill patternType="solid">
        <fgColor rgb="FFE9EEFF"/>
        <bgColor rgb="FFF1E9FC"/>
      </patternFill>
    </fill>
    <fill>
      <patternFill patternType="solid">
        <fgColor rgb="FFEEF0EA"/>
        <bgColor rgb="FFE4F4EC"/>
      </patternFill>
    </fill>
    <fill>
      <patternFill patternType="solid">
        <fgColor rgb="FFF1E9FC"/>
        <bgColor rgb="FFE9EEFF"/>
      </patternFill>
    </fill>
    <fill>
      <patternFill patternType="solid">
        <fgColor rgb="FFE4F4EC"/>
        <bgColor rgb="FFEEF0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0D8"/>
      </left>
      <right style="thin">
        <color rgb="FFDDE0D8"/>
      </right>
      <top style="thin">
        <color rgb="FFDDE0D8"/>
      </top>
      <bottom style="thin">
        <color rgb="FFDDE0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3FD1"/>
      <rgbColor rgb="FFFFF3BF"/>
      <rgbColor rgb="FFE4F4EC"/>
      <rgbColor rgb="FF660066"/>
      <rgbColor rgb="FFFF8080"/>
      <rgbColor rgb="FF0066CC"/>
      <rgbColor rgb="FFDDE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EFF"/>
      <rgbColor rgb="FFEEF0EA"/>
      <rgbColor rgb="FFF1E9FC"/>
      <rgbColor rgb="FF99CCFF"/>
      <rgbColor rgb="FFFF99CC"/>
      <rgbColor rgb="FFCC99FF"/>
      <rgbColor rgb="FFFFCC99"/>
      <rgbColor rgb="FF2D5BFF"/>
      <rgbColor rgb="FF33CCCC"/>
      <rgbColor rgb="FF99CC00"/>
      <rgbColor rgb="FFFFCC00"/>
      <rgbColor rgb="FFFF9900"/>
      <rgbColor rgb="FFFF6600"/>
      <rgbColor rgb="FF6A7183"/>
      <rgbColor rgb="FF9AA0AE"/>
      <rgbColor rgb="FF003366"/>
      <rgbColor rgb="FF1E8E5A"/>
      <rgbColor rgb="FF003300"/>
      <rgbColor rgb="FF333300"/>
      <rgbColor rgb="FF993300"/>
      <rgbColor rgb="FF993366"/>
      <rgbColor rgb="FF333399"/>
      <rgbColor rgb="FF1B23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9"/>
    <col collapsed="false" customWidth="true" hidden="false" outlineLevel="0" max="5" min="3" style="0" width="10"/>
    <col collapsed="false" customWidth="true" hidden="false" outlineLevel="0" max="6" min="6" style="0" width="13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</row>
    <row r="5" customFormat="false" ht="30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</row>
    <row r="6" customFormat="false" ht="30" hidden="false" customHeight="true" outlineLevel="0" collapsed="false">
      <c r="A6" s="6" t="s">
        <v>11</v>
      </c>
      <c r="B6" s="7" t="s">
        <v>12</v>
      </c>
      <c r="C6" s="8" t="s">
        <v>13</v>
      </c>
      <c r="D6" s="8" t="s">
        <v>13</v>
      </c>
      <c r="E6" s="8" t="s">
        <v>14</v>
      </c>
      <c r="F6" s="9" t="str">
        <f aca="false">IF(COUNTA(C6:E6)=0,"",COUNTIF(C6:E6,"PASS")&amp;"/3")</f>
        <v>2/3</v>
      </c>
      <c r="G6" s="6" t="s">
        <v>15</v>
      </c>
    </row>
    <row r="8" customFormat="false" ht="21.75" hidden="false" customHeight="true" outlineLevel="0" collapsed="false">
      <c r="A8" s="10" t="s">
        <v>16</v>
      </c>
      <c r="B8" s="10"/>
      <c r="C8" s="10"/>
      <c r="D8" s="10"/>
      <c r="E8" s="10"/>
      <c r="F8" s="10"/>
      <c r="G8" s="10"/>
    </row>
    <row r="9" customFormat="false" ht="30" hidden="false" customHeight="true" outlineLevel="0" collapsed="false">
      <c r="A9" s="11" t="s">
        <v>17</v>
      </c>
      <c r="B9" s="7" t="s">
        <v>12</v>
      </c>
      <c r="C9" s="8"/>
      <c r="D9" s="8"/>
      <c r="E9" s="8"/>
      <c r="F9" s="9" t="str">
        <f aca="false">IF(COUNTA(C9:E9)=0,"",COUNTIF(C9:E9,"PASS")&amp;"/3")</f>
        <v/>
      </c>
      <c r="G9" s="11"/>
    </row>
    <row r="10" customFormat="false" ht="30" hidden="false" customHeight="true" outlineLevel="0" collapsed="false">
      <c r="A10" s="11" t="s">
        <v>18</v>
      </c>
      <c r="B10" s="7" t="s">
        <v>12</v>
      </c>
      <c r="C10" s="8"/>
      <c r="D10" s="8"/>
      <c r="E10" s="8"/>
      <c r="F10" s="9" t="str">
        <f aca="false">IF(COUNTA(C10:E10)=0,"",COUNTIF(C10:E10,"PASS")&amp;"/3")</f>
        <v/>
      </c>
      <c r="G10" s="11"/>
    </row>
    <row r="11" customFormat="false" ht="30" hidden="false" customHeight="true" outlineLevel="0" collapsed="false">
      <c r="A11" s="11" t="s">
        <v>19</v>
      </c>
      <c r="B11" s="12" t="s">
        <v>20</v>
      </c>
      <c r="C11" s="8"/>
      <c r="D11" s="8"/>
      <c r="E11" s="8"/>
      <c r="F11" s="9" t="str">
        <f aca="false">IF(COUNTA(C11:E11)=0,"",COUNTIF(C11:E11,"PASS")&amp;"/3")</f>
        <v/>
      </c>
      <c r="G11" s="11"/>
    </row>
    <row r="13" customFormat="false" ht="21.75" hidden="false" customHeight="true" outlineLevel="0" collapsed="false">
      <c r="A13" s="10" t="s">
        <v>21</v>
      </c>
      <c r="B13" s="10"/>
      <c r="C13" s="10"/>
      <c r="D13" s="10"/>
      <c r="E13" s="10"/>
      <c r="F13" s="10"/>
      <c r="G13" s="10"/>
    </row>
    <row r="14" customFormat="false" ht="30" hidden="false" customHeight="true" outlineLevel="0" collapsed="false">
      <c r="A14" s="11" t="s">
        <v>22</v>
      </c>
      <c r="B14" s="7" t="s">
        <v>12</v>
      </c>
      <c r="C14" s="8"/>
      <c r="D14" s="8"/>
      <c r="E14" s="8"/>
      <c r="F14" s="9" t="str">
        <f aca="false">IF(COUNTA(C14:E14)=0,"",COUNTIF(C14:E14,"PASS")&amp;"/3")</f>
        <v/>
      </c>
      <c r="G14" s="11"/>
    </row>
    <row r="15" customFormat="false" ht="30" hidden="false" customHeight="true" outlineLevel="0" collapsed="false">
      <c r="A15" s="11" t="s">
        <v>23</v>
      </c>
      <c r="B15" s="7" t="s">
        <v>12</v>
      </c>
      <c r="C15" s="8"/>
      <c r="D15" s="8"/>
      <c r="E15" s="8"/>
      <c r="F15" s="9" t="str">
        <f aca="false">IF(COUNTA(C15:E15)=0,"",COUNTIF(C15:E15,"PASS")&amp;"/3")</f>
        <v/>
      </c>
      <c r="G15" s="11"/>
    </row>
    <row r="16" customFormat="false" ht="30" hidden="false" customHeight="true" outlineLevel="0" collapsed="false">
      <c r="A16" s="11" t="s">
        <v>24</v>
      </c>
      <c r="B16" s="7" t="s">
        <v>12</v>
      </c>
      <c r="C16" s="8"/>
      <c r="D16" s="8"/>
      <c r="E16" s="8"/>
      <c r="F16" s="9" t="str">
        <f aca="false">IF(COUNTA(C16:E16)=0,"",COUNTIF(C16:E16,"PASS")&amp;"/3")</f>
        <v/>
      </c>
      <c r="G16" s="11"/>
    </row>
    <row r="17" customFormat="false" ht="30" hidden="false" customHeight="true" outlineLevel="0" collapsed="false">
      <c r="A17" s="11" t="s">
        <v>25</v>
      </c>
      <c r="B17" s="12" t="s">
        <v>20</v>
      </c>
      <c r="C17" s="8"/>
      <c r="D17" s="8"/>
      <c r="E17" s="8"/>
      <c r="F17" s="9" t="str">
        <f aca="false">IF(COUNTA(C17:E17)=0,"",COUNTIF(C17:E17,"PASS")&amp;"/3")</f>
        <v/>
      </c>
      <c r="G17" s="11"/>
    </row>
    <row r="19" customFormat="false" ht="21.75" hidden="false" customHeight="true" outlineLevel="0" collapsed="false">
      <c r="A19" s="10" t="s">
        <v>26</v>
      </c>
      <c r="B19" s="10"/>
      <c r="C19" s="10"/>
      <c r="D19" s="10"/>
      <c r="E19" s="10"/>
      <c r="F19" s="10"/>
      <c r="G19" s="10"/>
    </row>
    <row r="20" customFormat="false" ht="30" hidden="false" customHeight="true" outlineLevel="0" collapsed="false">
      <c r="A20" s="11" t="s">
        <v>27</v>
      </c>
      <c r="B20" s="7" t="s">
        <v>12</v>
      </c>
      <c r="C20" s="8"/>
      <c r="D20" s="8"/>
      <c r="E20" s="8"/>
      <c r="F20" s="9" t="str">
        <f aca="false">IF(COUNTA(C20:E20)=0,"",COUNTIF(C20:E20,"PASS")&amp;"/3")</f>
        <v/>
      </c>
      <c r="G20" s="11"/>
    </row>
    <row r="21" customFormat="false" ht="30" hidden="false" customHeight="true" outlineLevel="0" collapsed="false">
      <c r="A21" s="11" t="s">
        <v>28</v>
      </c>
      <c r="B21" s="7" t="s">
        <v>12</v>
      </c>
      <c r="C21" s="8"/>
      <c r="D21" s="8"/>
      <c r="E21" s="8"/>
      <c r="F21" s="9" t="str">
        <f aca="false">IF(COUNTA(C21:E21)=0,"",COUNTIF(C21:E21,"PASS")&amp;"/3")</f>
        <v/>
      </c>
      <c r="G21" s="11"/>
    </row>
    <row r="22" customFormat="false" ht="30" hidden="false" customHeight="true" outlineLevel="0" collapsed="false">
      <c r="A22" s="11" t="s">
        <v>29</v>
      </c>
      <c r="B22" s="12" t="s">
        <v>20</v>
      </c>
      <c r="C22" s="8"/>
      <c r="D22" s="8"/>
      <c r="E22" s="8"/>
      <c r="F22" s="9" t="str">
        <f aca="false">IF(COUNTA(C22:E22)=0,"",COUNTIF(C22:E22,"PASS")&amp;"/3")</f>
        <v/>
      </c>
      <c r="G22" s="11"/>
    </row>
    <row r="24" customFormat="false" ht="21.75" hidden="false" customHeight="true" outlineLevel="0" collapsed="false">
      <c r="A24" s="10" t="s">
        <v>30</v>
      </c>
      <c r="B24" s="10"/>
      <c r="C24" s="10"/>
      <c r="D24" s="10"/>
      <c r="E24" s="10"/>
      <c r="F24" s="10"/>
      <c r="G24" s="10"/>
    </row>
    <row r="25" customFormat="false" ht="30" hidden="false" customHeight="true" outlineLevel="0" collapsed="false">
      <c r="A25" s="11" t="s">
        <v>31</v>
      </c>
      <c r="B25" s="7" t="s">
        <v>12</v>
      </c>
      <c r="C25" s="8"/>
      <c r="D25" s="8"/>
      <c r="E25" s="8"/>
      <c r="F25" s="9" t="str">
        <f aca="false">IF(COUNTA(C25:E25)=0,"",COUNTIF(C25:E25,"PASS")&amp;"/3")</f>
        <v/>
      </c>
      <c r="G25" s="11"/>
    </row>
    <row r="26" customFormat="false" ht="30" hidden="false" customHeight="true" outlineLevel="0" collapsed="false">
      <c r="A26" s="11" t="s">
        <v>32</v>
      </c>
      <c r="B26" s="7" t="s">
        <v>12</v>
      </c>
      <c r="C26" s="8"/>
      <c r="D26" s="8"/>
      <c r="E26" s="8"/>
      <c r="F26" s="9" t="str">
        <f aca="false">IF(COUNTA(C26:E26)=0,"",COUNTIF(C26:E26,"PASS")&amp;"/3")</f>
        <v/>
      </c>
      <c r="G26" s="11"/>
    </row>
    <row r="27" customFormat="false" ht="30" hidden="false" customHeight="true" outlineLevel="0" collapsed="false">
      <c r="A27" s="11" t="s">
        <v>33</v>
      </c>
      <c r="B27" s="13" t="s">
        <v>34</v>
      </c>
      <c r="C27" s="8"/>
      <c r="D27" s="14" t="s">
        <v>35</v>
      </c>
      <c r="E27" s="14" t="s">
        <v>35</v>
      </c>
      <c r="F27" s="9" t="str">
        <f aca="false">IF(C27="","",C27)</f>
        <v/>
      </c>
      <c r="G27" s="11"/>
    </row>
    <row r="29" customFormat="false" ht="21.75" hidden="false" customHeight="true" outlineLevel="0" collapsed="false">
      <c r="A29" s="10" t="s">
        <v>36</v>
      </c>
      <c r="B29" s="10"/>
      <c r="C29" s="10"/>
      <c r="D29" s="10"/>
      <c r="E29" s="10"/>
      <c r="F29" s="10"/>
      <c r="G29" s="10"/>
    </row>
    <row r="30" customFormat="false" ht="30" hidden="false" customHeight="true" outlineLevel="0" collapsed="false">
      <c r="A30" s="11" t="s">
        <v>37</v>
      </c>
      <c r="B30" s="7" t="s">
        <v>12</v>
      </c>
      <c r="C30" s="8"/>
      <c r="D30" s="8"/>
      <c r="E30" s="8"/>
      <c r="F30" s="9" t="str">
        <f aca="false">IF(COUNTA(C30:E30)=0,"",COUNTIF(C30:E30,"PASS")&amp;"/3")</f>
        <v/>
      </c>
      <c r="G30" s="11"/>
    </row>
    <row r="31" customFormat="false" ht="30" hidden="false" customHeight="true" outlineLevel="0" collapsed="false">
      <c r="A31" s="11" t="s">
        <v>38</v>
      </c>
      <c r="B31" s="12" t="s">
        <v>20</v>
      </c>
      <c r="C31" s="8"/>
      <c r="D31" s="8"/>
      <c r="E31" s="8"/>
      <c r="F31" s="9" t="str">
        <f aca="false">IF(COUNTA(C31:E31)=0,"",COUNTIF(C31:E31,"PASS")&amp;"/3")</f>
        <v/>
      </c>
      <c r="G31" s="11"/>
    </row>
    <row r="33" customFormat="false" ht="21.75" hidden="false" customHeight="true" outlineLevel="0" collapsed="false">
      <c r="A33" s="10" t="s">
        <v>39</v>
      </c>
      <c r="B33" s="10"/>
      <c r="C33" s="10"/>
      <c r="D33" s="10"/>
      <c r="E33" s="10"/>
      <c r="F33" s="10"/>
      <c r="G33" s="10"/>
    </row>
    <row r="34" customFormat="false" ht="30" hidden="false" customHeight="true" outlineLevel="0" collapsed="false">
      <c r="A34" s="11" t="s">
        <v>40</v>
      </c>
      <c r="B34" s="7" t="s">
        <v>12</v>
      </c>
      <c r="C34" s="8"/>
      <c r="D34" s="8"/>
      <c r="E34" s="8"/>
      <c r="F34" s="9" t="str">
        <f aca="false">IF(COUNTA(C34:E34)=0,"",COUNTIF(C34:E34,"PASS")&amp;"/3")</f>
        <v/>
      </c>
      <c r="G34" s="11"/>
    </row>
    <row r="35" customFormat="false" ht="30" hidden="false" customHeight="true" outlineLevel="0" collapsed="false">
      <c r="A35" s="11" t="s">
        <v>41</v>
      </c>
      <c r="B35" s="12" t="s">
        <v>20</v>
      </c>
      <c r="C35" s="8"/>
      <c r="D35" s="8"/>
      <c r="E35" s="8"/>
      <c r="F35" s="9" t="str">
        <f aca="false">IF(COUNTA(C35:E35)=0,"",COUNTIF(C35:E35,"PASS")&amp;"/3")</f>
        <v/>
      </c>
      <c r="G35" s="11"/>
    </row>
    <row r="36" customFormat="false" ht="30" hidden="false" customHeight="true" outlineLevel="0" collapsed="false">
      <c r="A36" s="11" t="s">
        <v>42</v>
      </c>
      <c r="B36" s="13" t="s">
        <v>34</v>
      </c>
      <c r="C36" s="8"/>
      <c r="D36" s="14" t="s">
        <v>35</v>
      </c>
      <c r="E36" s="14" t="s">
        <v>35</v>
      </c>
      <c r="F36" s="9" t="str">
        <f aca="false">IF(C36="","",C36)</f>
        <v/>
      </c>
      <c r="G36" s="11"/>
    </row>
  </sheetData>
  <mergeCells count="10">
    <mergeCell ref="A1:G1"/>
    <mergeCell ref="A2:G2"/>
    <mergeCell ref="A3:G3"/>
    <mergeCell ref="A4:G4"/>
    <mergeCell ref="A8:G8"/>
    <mergeCell ref="A13:G13"/>
    <mergeCell ref="A19:G19"/>
    <mergeCell ref="A24:G24"/>
    <mergeCell ref="A29:G29"/>
    <mergeCell ref="A33:G33"/>
  </mergeCells>
  <dataValidations count="2">
    <dataValidation allowBlank="true" errorStyle="stop" operator="between" showDropDown="false" showErrorMessage="false" showInputMessage="false" sqref="C6:E6 C9:E11 C14:E17 C20:E22 C25:E26 C30:E31 C34:E35" type="list">
      <formula1>"PASS,FAIL"</formula1>
      <formula2>0</formula2>
    </dataValidation>
    <dataValidation allowBlank="true" errorStyle="stop" operator="between" showDropDown="false" showErrorMessage="false" showInputMessage="false" sqref="C27 C36" type="list">
      <formula1>"OK,NOT OK"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9"/>
    <col collapsed="false" customWidth="true" hidden="false" outlineLevel="0" max="5" min="3" style="0" width="10"/>
    <col collapsed="false" customWidth="true" hidden="false" outlineLevel="0" max="6" min="6" style="0" width="13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43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</row>
    <row r="5" customFormat="false" ht="30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</row>
    <row r="6" customFormat="false" ht="30" hidden="false" customHeight="true" outlineLevel="0" collapsed="false">
      <c r="A6" s="6" t="s">
        <v>11</v>
      </c>
      <c r="B6" s="7" t="s">
        <v>12</v>
      </c>
      <c r="C6" s="8" t="s">
        <v>13</v>
      </c>
      <c r="D6" s="8" t="s">
        <v>13</v>
      </c>
      <c r="E6" s="8" t="s">
        <v>14</v>
      </c>
      <c r="F6" s="9" t="str">
        <f aca="false">IF(COUNTA(C6:E6)=0,"",COUNTIF(C6:E6,"PASS")&amp;"/3")</f>
        <v>2/3</v>
      </c>
      <c r="G6" s="6" t="s">
        <v>15</v>
      </c>
    </row>
    <row r="8" customFormat="false" ht="21.75" hidden="false" customHeight="true" outlineLevel="0" collapsed="false">
      <c r="A8" s="10" t="s">
        <v>44</v>
      </c>
      <c r="B8" s="10"/>
      <c r="C8" s="10"/>
      <c r="D8" s="10"/>
      <c r="E8" s="10"/>
      <c r="F8" s="10"/>
      <c r="G8" s="10"/>
    </row>
    <row r="9" customFormat="false" ht="30" hidden="false" customHeight="true" outlineLevel="0" collapsed="false">
      <c r="A9" s="11" t="s">
        <v>45</v>
      </c>
      <c r="B9" s="7" t="s">
        <v>12</v>
      </c>
      <c r="C9" s="8"/>
      <c r="D9" s="8"/>
      <c r="E9" s="8"/>
      <c r="F9" s="9" t="str">
        <f aca="false">IF(COUNTA(C9:E9)=0,"",COUNTIF(C9:E9,"PASS")&amp;"/3")</f>
        <v/>
      </c>
      <c r="G9" s="11"/>
    </row>
    <row r="10" customFormat="false" ht="30" hidden="false" customHeight="true" outlineLevel="0" collapsed="false">
      <c r="A10" s="11" t="s">
        <v>46</v>
      </c>
      <c r="B10" s="7" t="s">
        <v>12</v>
      </c>
      <c r="C10" s="8"/>
      <c r="D10" s="8"/>
      <c r="E10" s="8"/>
      <c r="F10" s="9" t="str">
        <f aca="false">IF(COUNTA(C10:E10)=0,"",COUNTIF(C10:E10,"PASS")&amp;"/3")</f>
        <v/>
      </c>
      <c r="G10" s="11"/>
    </row>
    <row r="11" customFormat="false" ht="30" hidden="false" customHeight="true" outlineLevel="0" collapsed="false">
      <c r="A11" s="11" t="s">
        <v>47</v>
      </c>
      <c r="B11" s="12" t="s">
        <v>20</v>
      </c>
      <c r="C11" s="8"/>
      <c r="D11" s="8"/>
      <c r="E11" s="8"/>
      <c r="F11" s="9" t="str">
        <f aca="false">IF(COUNTA(C11:E11)=0,"",COUNTIF(C11:E11,"PASS")&amp;"/3")</f>
        <v/>
      </c>
      <c r="G11" s="11"/>
    </row>
    <row r="13" customFormat="false" ht="21.75" hidden="false" customHeight="true" outlineLevel="0" collapsed="false">
      <c r="A13" s="10" t="s">
        <v>48</v>
      </c>
      <c r="B13" s="10"/>
      <c r="C13" s="10"/>
      <c r="D13" s="10"/>
      <c r="E13" s="10"/>
      <c r="F13" s="10"/>
      <c r="G13" s="10"/>
    </row>
    <row r="14" customFormat="false" ht="30" hidden="false" customHeight="true" outlineLevel="0" collapsed="false">
      <c r="A14" s="11" t="s">
        <v>49</v>
      </c>
      <c r="B14" s="7" t="s">
        <v>12</v>
      </c>
      <c r="C14" s="8"/>
      <c r="D14" s="8"/>
      <c r="E14" s="8"/>
      <c r="F14" s="9" t="str">
        <f aca="false">IF(COUNTA(C14:E14)=0,"",COUNTIF(C14:E14,"PASS")&amp;"/3")</f>
        <v/>
      </c>
      <c r="G14" s="11"/>
    </row>
    <row r="15" customFormat="false" ht="30" hidden="false" customHeight="true" outlineLevel="0" collapsed="false">
      <c r="A15" s="11" t="s">
        <v>50</v>
      </c>
      <c r="B15" s="7" t="s">
        <v>12</v>
      </c>
      <c r="C15" s="8"/>
      <c r="D15" s="8"/>
      <c r="E15" s="8"/>
      <c r="F15" s="9" t="str">
        <f aca="false">IF(COUNTA(C15:E15)=0,"",COUNTIF(C15:E15,"PASS")&amp;"/3")</f>
        <v/>
      </c>
      <c r="G15" s="11"/>
    </row>
    <row r="16" customFormat="false" ht="30" hidden="false" customHeight="true" outlineLevel="0" collapsed="false">
      <c r="A16" s="11" t="s">
        <v>51</v>
      </c>
      <c r="B16" s="12" t="s">
        <v>20</v>
      </c>
      <c r="C16" s="8"/>
      <c r="D16" s="8"/>
      <c r="E16" s="8"/>
      <c r="F16" s="9" t="str">
        <f aca="false">IF(COUNTA(C16:E16)=0,"",COUNTIF(C16:E16,"PASS")&amp;"/3")</f>
        <v/>
      </c>
      <c r="G16" s="11"/>
    </row>
    <row r="18" customFormat="false" ht="21.75" hidden="false" customHeight="true" outlineLevel="0" collapsed="false">
      <c r="A18" s="10" t="s">
        <v>52</v>
      </c>
      <c r="B18" s="10"/>
      <c r="C18" s="10"/>
      <c r="D18" s="10"/>
      <c r="E18" s="10"/>
      <c r="F18" s="10"/>
      <c r="G18" s="10"/>
    </row>
    <row r="19" customFormat="false" ht="30" hidden="false" customHeight="true" outlineLevel="0" collapsed="false">
      <c r="A19" s="11" t="s">
        <v>53</v>
      </c>
      <c r="B19" s="7" t="s">
        <v>12</v>
      </c>
      <c r="C19" s="8"/>
      <c r="D19" s="8"/>
      <c r="E19" s="8"/>
      <c r="F19" s="9" t="str">
        <f aca="false">IF(COUNTA(C19:E19)=0,"",COUNTIF(C19:E19,"PASS")&amp;"/3")</f>
        <v/>
      </c>
      <c r="G19" s="11"/>
    </row>
    <row r="20" customFormat="false" ht="30" hidden="false" customHeight="true" outlineLevel="0" collapsed="false">
      <c r="A20" s="11" t="s">
        <v>54</v>
      </c>
      <c r="B20" s="7" t="s">
        <v>12</v>
      </c>
      <c r="C20" s="8"/>
      <c r="D20" s="8"/>
      <c r="E20" s="8"/>
      <c r="F20" s="9" t="str">
        <f aca="false">IF(COUNTA(C20:E20)=0,"",COUNTIF(C20:E20,"PASS")&amp;"/3")</f>
        <v/>
      </c>
      <c r="G20" s="11"/>
    </row>
    <row r="21" customFormat="false" ht="30" hidden="false" customHeight="true" outlineLevel="0" collapsed="false">
      <c r="A21" s="11" t="s">
        <v>55</v>
      </c>
      <c r="B21" s="12" t="s">
        <v>20</v>
      </c>
      <c r="C21" s="8"/>
      <c r="D21" s="8"/>
      <c r="E21" s="8"/>
      <c r="F21" s="9" t="str">
        <f aca="false">IF(COUNTA(C21:E21)=0,"",COUNTIF(C21:E21,"PASS")&amp;"/3")</f>
        <v/>
      </c>
      <c r="G21" s="11"/>
    </row>
    <row r="23" customFormat="false" ht="21.75" hidden="false" customHeight="true" outlineLevel="0" collapsed="false">
      <c r="A23" s="10" t="s">
        <v>56</v>
      </c>
      <c r="B23" s="10"/>
      <c r="C23" s="10"/>
      <c r="D23" s="10"/>
      <c r="E23" s="10"/>
      <c r="F23" s="10"/>
      <c r="G23" s="10"/>
    </row>
    <row r="24" customFormat="false" ht="30" hidden="false" customHeight="true" outlineLevel="0" collapsed="false">
      <c r="A24" s="11" t="s">
        <v>57</v>
      </c>
      <c r="B24" s="7" t="s">
        <v>12</v>
      </c>
      <c r="C24" s="8"/>
      <c r="D24" s="8"/>
      <c r="E24" s="8"/>
      <c r="F24" s="9" t="str">
        <f aca="false">IF(COUNTA(C24:E24)=0,"",COUNTIF(C24:E24,"PASS")&amp;"/3")</f>
        <v/>
      </c>
      <c r="G24" s="11"/>
    </row>
    <row r="25" customFormat="false" ht="30" hidden="false" customHeight="true" outlineLevel="0" collapsed="false">
      <c r="A25" s="11" t="s">
        <v>58</v>
      </c>
      <c r="B25" s="7" t="s">
        <v>12</v>
      </c>
      <c r="C25" s="8"/>
      <c r="D25" s="8"/>
      <c r="E25" s="8"/>
      <c r="F25" s="9" t="str">
        <f aca="false">IF(COUNTA(C25:E25)=0,"",COUNTIF(C25:E25,"PASS")&amp;"/3")</f>
        <v/>
      </c>
      <c r="G25" s="11"/>
    </row>
    <row r="26" customFormat="false" ht="30" hidden="false" customHeight="true" outlineLevel="0" collapsed="false">
      <c r="A26" s="11" t="s">
        <v>59</v>
      </c>
      <c r="B26" s="13" t="s">
        <v>34</v>
      </c>
      <c r="C26" s="8"/>
      <c r="D26" s="14" t="s">
        <v>35</v>
      </c>
      <c r="E26" s="14" t="s">
        <v>35</v>
      </c>
      <c r="F26" s="9" t="str">
        <f aca="false">IF(C26="","",C26)</f>
        <v/>
      </c>
      <c r="G26" s="11"/>
    </row>
    <row r="28" customFormat="false" ht="21.75" hidden="false" customHeight="true" outlineLevel="0" collapsed="false">
      <c r="A28" s="10" t="s">
        <v>60</v>
      </c>
      <c r="B28" s="10"/>
      <c r="C28" s="10"/>
      <c r="D28" s="10"/>
      <c r="E28" s="10"/>
      <c r="F28" s="10"/>
      <c r="G28" s="10"/>
    </row>
    <row r="29" customFormat="false" ht="30" hidden="false" customHeight="true" outlineLevel="0" collapsed="false">
      <c r="A29" s="11" t="s">
        <v>61</v>
      </c>
      <c r="B29" s="7" t="s">
        <v>12</v>
      </c>
      <c r="C29" s="8"/>
      <c r="D29" s="8"/>
      <c r="E29" s="8"/>
      <c r="F29" s="9" t="str">
        <f aca="false">IF(COUNTA(C29:E29)=0,"",COUNTIF(C29:E29,"PASS")&amp;"/3")</f>
        <v/>
      </c>
      <c r="G29" s="11"/>
    </row>
    <row r="30" customFormat="false" ht="30" hidden="false" customHeight="true" outlineLevel="0" collapsed="false">
      <c r="A30" s="11" t="s">
        <v>62</v>
      </c>
      <c r="B30" s="7" t="s">
        <v>12</v>
      </c>
      <c r="C30" s="8"/>
      <c r="D30" s="8"/>
      <c r="E30" s="8"/>
      <c r="F30" s="9" t="str">
        <f aca="false">IF(COUNTA(C30:E30)=0,"",COUNTIF(C30:E30,"PASS")&amp;"/3")</f>
        <v/>
      </c>
      <c r="G30" s="11"/>
    </row>
    <row r="31" customFormat="false" ht="30" hidden="false" customHeight="true" outlineLevel="0" collapsed="false">
      <c r="A31" s="11" t="s">
        <v>63</v>
      </c>
      <c r="B31" s="12" t="s">
        <v>20</v>
      </c>
      <c r="C31" s="8"/>
      <c r="D31" s="8"/>
      <c r="E31" s="8"/>
      <c r="F31" s="9" t="str">
        <f aca="false">IF(COUNTA(C31:E31)=0,"",COUNTIF(C31:E31,"PASS")&amp;"/3")</f>
        <v/>
      </c>
      <c r="G31" s="11"/>
    </row>
    <row r="33" customFormat="false" ht="21.75" hidden="false" customHeight="true" outlineLevel="0" collapsed="false">
      <c r="A33" s="10" t="s">
        <v>64</v>
      </c>
      <c r="B33" s="10"/>
      <c r="C33" s="10"/>
      <c r="D33" s="10"/>
      <c r="E33" s="10"/>
      <c r="F33" s="10"/>
      <c r="G33" s="10"/>
    </row>
    <row r="34" customFormat="false" ht="30" hidden="false" customHeight="true" outlineLevel="0" collapsed="false">
      <c r="A34" s="11" t="s">
        <v>65</v>
      </c>
      <c r="B34" s="7" t="s">
        <v>12</v>
      </c>
      <c r="C34" s="8"/>
      <c r="D34" s="8"/>
      <c r="E34" s="8"/>
      <c r="F34" s="9" t="str">
        <f aca="false">IF(COUNTA(C34:E34)=0,"",COUNTIF(C34:E34,"PASS")&amp;"/3")</f>
        <v/>
      </c>
      <c r="G34" s="11"/>
    </row>
    <row r="35" customFormat="false" ht="30" hidden="false" customHeight="true" outlineLevel="0" collapsed="false">
      <c r="A35" s="11" t="s">
        <v>66</v>
      </c>
      <c r="B35" s="13" t="s">
        <v>34</v>
      </c>
      <c r="C35" s="8"/>
      <c r="D35" s="14" t="s">
        <v>35</v>
      </c>
      <c r="E35" s="14" t="s">
        <v>35</v>
      </c>
      <c r="F35" s="9" t="str">
        <f aca="false">IF(C35="","",C35)</f>
        <v/>
      </c>
      <c r="G35" s="11"/>
    </row>
  </sheetData>
  <mergeCells count="10">
    <mergeCell ref="A1:G1"/>
    <mergeCell ref="A2:G2"/>
    <mergeCell ref="A3:G3"/>
    <mergeCell ref="A4:G4"/>
    <mergeCell ref="A8:G8"/>
    <mergeCell ref="A13:G13"/>
    <mergeCell ref="A18:G18"/>
    <mergeCell ref="A23:G23"/>
    <mergeCell ref="A28:G28"/>
    <mergeCell ref="A33:G33"/>
  </mergeCells>
  <dataValidations count="2">
    <dataValidation allowBlank="true" errorStyle="stop" operator="between" showDropDown="false" showErrorMessage="false" showInputMessage="false" sqref="C6:E6 C9:E11 C14:E16 C19:E21 C24:E25 C29:E31 C34:E34" type="list">
      <formula1>"PASS,FAIL"</formula1>
      <formula2>0</formula2>
    </dataValidation>
    <dataValidation allowBlank="true" errorStyle="stop" operator="between" showDropDown="false" showErrorMessage="false" showInputMessage="false" sqref="C26 C35" type="list">
      <formula1>"OK,NOT OK"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9"/>
    <col collapsed="false" customWidth="true" hidden="false" outlineLevel="0" max="5" min="3" style="0" width="10"/>
    <col collapsed="false" customWidth="true" hidden="false" outlineLevel="0" max="6" min="6" style="0" width="13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</row>
    <row r="5" customFormat="false" ht="30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</row>
    <row r="6" customFormat="false" ht="30" hidden="false" customHeight="true" outlineLevel="0" collapsed="false">
      <c r="A6" s="6" t="s">
        <v>11</v>
      </c>
      <c r="B6" s="7" t="s">
        <v>12</v>
      </c>
      <c r="C6" s="8" t="s">
        <v>13</v>
      </c>
      <c r="D6" s="8" t="s">
        <v>13</v>
      </c>
      <c r="E6" s="8" t="s">
        <v>14</v>
      </c>
      <c r="F6" s="9" t="str">
        <f aca="false">IF(COUNTA(C6:E6)=0,"",COUNTIF(C6:E6,"PASS")&amp;"/3")</f>
        <v>2/3</v>
      </c>
      <c r="G6" s="6" t="s">
        <v>15</v>
      </c>
    </row>
    <row r="8" customFormat="false" ht="21.75" hidden="false" customHeight="true" outlineLevel="0" collapsed="false">
      <c r="A8" s="10" t="s">
        <v>68</v>
      </c>
      <c r="B8" s="10"/>
      <c r="C8" s="10"/>
      <c r="D8" s="10"/>
      <c r="E8" s="10"/>
      <c r="F8" s="10"/>
      <c r="G8" s="10"/>
    </row>
    <row r="9" customFormat="false" ht="30" hidden="false" customHeight="true" outlineLevel="0" collapsed="false">
      <c r="A9" s="11" t="s">
        <v>69</v>
      </c>
      <c r="B9" s="7" t="s">
        <v>12</v>
      </c>
      <c r="C9" s="8"/>
      <c r="D9" s="8"/>
      <c r="E9" s="8"/>
      <c r="F9" s="9" t="str">
        <f aca="false">IF(COUNTA(C9:E9)=0,"",COUNTIF(C9:E9,"PASS")&amp;"/3")</f>
        <v/>
      </c>
      <c r="G9" s="11"/>
    </row>
    <row r="10" customFormat="false" ht="30" hidden="false" customHeight="true" outlineLevel="0" collapsed="false">
      <c r="A10" s="11" t="s">
        <v>70</v>
      </c>
      <c r="B10" s="7" t="s">
        <v>12</v>
      </c>
      <c r="C10" s="8"/>
      <c r="D10" s="8"/>
      <c r="E10" s="8"/>
      <c r="F10" s="9" t="str">
        <f aca="false">IF(COUNTA(C10:E10)=0,"",COUNTIF(C10:E10,"PASS")&amp;"/3")</f>
        <v/>
      </c>
      <c r="G10" s="11"/>
    </row>
    <row r="11" customFormat="false" ht="30" hidden="false" customHeight="true" outlineLevel="0" collapsed="false">
      <c r="A11" s="11" t="s">
        <v>71</v>
      </c>
      <c r="B11" s="12" t="s">
        <v>20</v>
      </c>
      <c r="C11" s="8"/>
      <c r="D11" s="8"/>
      <c r="E11" s="8"/>
      <c r="F11" s="9" t="str">
        <f aca="false">IF(COUNTA(C11:E11)=0,"",COUNTIF(C11:E11,"PASS")&amp;"/3")</f>
        <v/>
      </c>
      <c r="G11" s="11"/>
    </row>
    <row r="13" customFormat="false" ht="21.75" hidden="false" customHeight="true" outlineLevel="0" collapsed="false">
      <c r="A13" s="10" t="s">
        <v>72</v>
      </c>
      <c r="B13" s="10"/>
      <c r="C13" s="10"/>
      <c r="D13" s="10"/>
      <c r="E13" s="10"/>
      <c r="F13" s="10"/>
      <c r="G13" s="10"/>
    </row>
    <row r="14" customFormat="false" ht="30" hidden="false" customHeight="true" outlineLevel="0" collapsed="false">
      <c r="A14" s="11" t="s">
        <v>73</v>
      </c>
      <c r="B14" s="7" t="s">
        <v>12</v>
      </c>
      <c r="C14" s="8"/>
      <c r="D14" s="8"/>
      <c r="E14" s="8"/>
      <c r="F14" s="9" t="str">
        <f aca="false">IF(COUNTA(C14:E14)=0,"",COUNTIF(C14:E14,"PASS")&amp;"/3")</f>
        <v/>
      </c>
      <c r="G14" s="11"/>
    </row>
    <row r="15" customFormat="false" ht="30" hidden="false" customHeight="true" outlineLevel="0" collapsed="false">
      <c r="A15" s="11" t="s">
        <v>74</v>
      </c>
      <c r="B15" s="7" t="s">
        <v>12</v>
      </c>
      <c r="C15" s="8"/>
      <c r="D15" s="8"/>
      <c r="E15" s="8"/>
      <c r="F15" s="9" t="str">
        <f aca="false">IF(COUNTA(C15:E15)=0,"",COUNTIF(C15:E15,"PASS")&amp;"/3")</f>
        <v/>
      </c>
      <c r="G15" s="11"/>
    </row>
    <row r="16" customFormat="false" ht="30" hidden="false" customHeight="true" outlineLevel="0" collapsed="false">
      <c r="A16" s="11" t="s">
        <v>75</v>
      </c>
      <c r="B16" s="12" t="s">
        <v>20</v>
      </c>
      <c r="C16" s="8"/>
      <c r="D16" s="8"/>
      <c r="E16" s="8"/>
      <c r="F16" s="9" t="str">
        <f aca="false">IF(COUNTA(C16:E16)=0,"",COUNTIF(C16:E16,"PASS")&amp;"/3")</f>
        <v/>
      </c>
      <c r="G16" s="11"/>
    </row>
    <row r="18" customFormat="false" ht="21.75" hidden="false" customHeight="true" outlineLevel="0" collapsed="false">
      <c r="A18" s="10" t="s">
        <v>76</v>
      </c>
      <c r="B18" s="10"/>
      <c r="C18" s="10"/>
      <c r="D18" s="10"/>
      <c r="E18" s="10"/>
      <c r="F18" s="10"/>
      <c r="G18" s="10"/>
    </row>
    <row r="19" customFormat="false" ht="30" hidden="false" customHeight="true" outlineLevel="0" collapsed="false">
      <c r="A19" s="11" t="s">
        <v>77</v>
      </c>
      <c r="B19" s="7" t="s">
        <v>12</v>
      </c>
      <c r="C19" s="8"/>
      <c r="D19" s="8"/>
      <c r="E19" s="8"/>
      <c r="F19" s="9" t="str">
        <f aca="false">IF(COUNTA(C19:E19)=0,"",COUNTIF(C19:E19,"PASS")&amp;"/3")</f>
        <v/>
      </c>
      <c r="G19" s="11"/>
    </row>
    <row r="20" customFormat="false" ht="30" hidden="false" customHeight="true" outlineLevel="0" collapsed="false">
      <c r="A20" s="11" t="s">
        <v>78</v>
      </c>
      <c r="B20" s="7" t="s">
        <v>12</v>
      </c>
      <c r="C20" s="8"/>
      <c r="D20" s="8"/>
      <c r="E20" s="8"/>
      <c r="F20" s="9" t="str">
        <f aca="false">IF(COUNTA(C20:E20)=0,"",COUNTIF(C20:E20,"PASS")&amp;"/3")</f>
        <v/>
      </c>
      <c r="G20" s="11"/>
    </row>
    <row r="21" customFormat="false" ht="30" hidden="false" customHeight="true" outlineLevel="0" collapsed="false">
      <c r="A21" s="11" t="s">
        <v>79</v>
      </c>
      <c r="B21" s="12" t="s">
        <v>20</v>
      </c>
      <c r="C21" s="8"/>
      <c r="D21" s="8"/>
      <c r="E21" s="8"/>
      <c r="F21" s="9" t="str">
        <f aca="false">IF(COUNTA(C21:E21)=0,"",COUNTIF(C21:E21,"PASS")&amp;"/3")</f>
        <v/>
      </c>
      <c r="G21" s="11"/>
    </row>
    <row r="23" customFormat="false" ht="21.75" hidden="false" customHeight="true" outlineLevel="0" collapsed="false">
      <c r="A23" s="10" t="s">
        <v>80</v>
      </c>
      <c r="B23" s="10"/>
      <c r="C23" s="10"/>
      <c r="D23" s="10"/>
      <c r="E23" s="10"/>
      <c r="F23" s="10"/>
      <c r="G23" s="10"/>
    </row>
    <row r="24" customFormat="false" ht="30" hidden="false" customHeight="true" outlineLevel="0" collapsed="false">
      <c r="A24" s="11" t="s">
        <v>81</v>
      </c>
      <c r="B24" s="7" t="s">
        <v>12</v>
      </c>
      <c r="C24" s="8"/>
      <c r="D24" s="8"/>
      <c r="E24" s="8"/>
      <c r="F24" s="9" t="str">
        <f aca="false">IF(COUNTA(C24:E24)=0,"",COUNTIF(C24:E24,"PASS")&amp;"/3")</f>
        <v/>
      </c>
      <c r="G24" s="11"/>
    </row>
    <row r="25" customFormat="false" ht="30" hidden="false" customHeight="true" outlineLevel="0" collapsed="false">
      <c r="A25" s="11" t="s">
        <v>82</v>
      </c>
      <c r="B25" s="7" t="s">
        <v>12</v>
      </c>
      <c r="C25" s="8"/>
      <c r="D25" s="8"/>
      <c r="E25" s="8"/>
      <c r="F25" s="9" t="str">
        <f aca="false">IF(COUNTA(C25:E25)=0,"",COUNTIF(C25:E25,"PASS")&amp;"/3")</f>
        <v/>
      </c>
      <c r="G25" s="11"/>
    </row>
    <row r="26" customFormat="false" ht="30" hidden="false" customHeight="true" outlineLevel="0" collapsed="false">
      <c r="A26" s="11" t="s">
        <v>83</v>
      </c>
      <c r="B26" s="13" t="s">
        <v>34</v>
      </c>
      <c r="C26" s="8"/>
      <c r="D26" s="14" t="s">
        <v>35</v>
      </c>
      <c r="E26" s="14" t="s">
        <v>35</v>
      </c>
      <c r="F26" s="9" t="str">
        <f aca="false">IF(C26="","",C26)</f>
        <v/>
      </c>
      <c r="G26" s="11"/>
    </row>
    <row r="28" customFormat="false" ht="21.75" hidden="false" customHeight="true" outlineLevel="0" collapsed="false">
      <c r="A28" s="10" t="s">
        <v>84</v>
      </c>
      <c r="B28" s="10"/>
      <c r="C28" s="10"/>
      <c r="D28" s="10"/>
      <c r="E28" s="10"/>
      <c r="F28" s="10"/>
      <c r="G28" s="10"/>
    </row>
    <row r="29" customFormat="false" ht="30" hidden="false" customHeight="true" outlineLevel="0" collapsed="false">
      <c r="A29" s="11" t="s">
        <v>85</v>
      </c>
      <c r="B29" s="7" t="s">
        <v>12</v>
      </c>
      <c r="C29" s="8"/>
      <c r="D29" s="8"/>
      <c r="E29" s="8"/>
      <c r="F29" s="9" t="str">
        <f aca="false">IF(COUNTA(C29:E29)=0,"",COUNTIF(C29:E29,"PASS")&amp;"/3")</f>
        <v/>
      </c>
      <c r="G29" s="11"/>
    </row>
    <row r="30" customFormat="false" ht="30" hidden="false" customHeight="true" outlineLevel="0" collapsed="false">
      <c r="A30" s="11" t="s">
        <v>86</v>
      </c>
      <c r="B30" s="7" t="s">
        <v>12</v>
      </c>
      <c r="C30" s="8"/>
      <c r="D30" s="8"/>
      <c r="E30" s="8"/>
      <c r="F30" s="9" t="str">
        <f aca="false">IF(COUNTA(C30:E30)=0,"",COUNTIF(C30:E30,"PASS")&amp;"/3")</f>
        <v/>
      </c>
      <c r="G30" s="11"/>
    </row>
    <row r="31" customFormat="false" ht="30" hidden="false" customHeight="true" outlineLevel="0" collapsed="false">
      <c r="A31" s="11" t="s">
        <v>87</v>
      </c>
      <c r="B31" s="12" t="s">
        <v>20</v>
      </c>
      <c r="C31" s="8"/>
      <c r="D31" s="8"/>
      <c r="E31" s="8"/>
      <c r="F31" s="9" t="str">
        <f aca="false">IF(COUNTA(C31:E31)=0,"",COUNTIF(C31:E31,"PASS")&amp;"/3")</f>
        <v/>
      </c>
      <c r="G31" s="11"/>
    </row>
    <row r="33" customFormat="false" ht="21.75" hidden="false" customHeight="true" outlineLevel="0" collapsed="false">
      <c r="A33" s="10" t="s">
        <v>88</v>
      </c>
      <c r="B33" s="10"/>
      <c r="C33" s="10"/>
      <c r="D33" s="10"/>
      <c r="E33" s="10"/>
      <c r="F33" s="10"/>
      <c r="G33" s="10"/>
    </row>
    <row r="34" customFormat="false" ht="30" hidden="false" customHeight="true" outlineLevel="0" collapsed="false">
      <c r="A34" s="11" t="s">
        <v>89</v>
      </c>
      <c r="B34" s="7" t="s">
        <v>12</v>
      </c>
      <c r="C34" s="8"/>
      <c r="D34" s="8"/>
      <c r="E34" s="8"/>
      <c r="F34" s="9" t="str">
        <f aca="false">IF(COUNTA(C34:E34)=0,"",COUNTIF(C34:E34,"PASS")&amp;"/3")</f>
        <v/>
      </c>
      <c r="G34" s="11"/>
    </row>
    <row r="35" customFormat="false" ht="30" hidden="false" customHeight="true" outlineLevel="0" collapsed="false">
      <c r="A35" s="11" t="s">
        <v>90</v>
      </c>
      <c r="B35" s="7" t="s">
        <v>12</v>
      </c>
      <c r="C35" s="8"/>
      <c r="D35" s="8"/>
      <c r="E35" s="8"/>
      <c r="F35" s="9" t="str">
        <f aca="false">IF(COUNTA(C35:E35)=0,"",COUNTIF(C35:E35,"PASS")&amp;"/3")</f>
        <v/>
      </c>
      <c r="G35" s="11"/>
    </row>
    <row r="36" customFormat="false" ht="30" hidden="false" customHeight="true" outlineLevel="0" collapsed="false">
      <c r="A36" s="11" t="s">
        <v>91</v>
      </c>
      <c r="B36" s="12" t="s">
        <v>20</v>
      </c>
      <c r="C36" s="8"/>
      <c r="D36" s="8"/>
      <c r="E36" s="8"/>
      <c r="F36" s="9" t="str">
        <f aca="false">IF(COUNTA(C36:E36)=0,"",COUNTIF(C36:E36,"PASS")&amp;"/3")</f>
        <v/>
      </c>
      <c r="G36" s="11"/>
    </row>
  </sheetData>
  <mergeCells count="10">
    <mergeCell ref="A1:G1"/>
    <mergeCell ref="A2:G2"/>
    <mergeCell ref="A3:G3"/>
    <mergeCell ref="A4:G4"/>
    <mergeCell ref="A8:G8"/>
    <mergeCell ref="A13:G13"/>
    <mergeCell ref="A18:G18"/>
    <mergeCell ref="A23:G23"/>
    <mergeCell ref="A28:G28"/>
    <mergeCell ref="A33:G33"/>
  </mergeCells>
  <dataValidations count="2">
    <dataValidation allowBlank="true" errorStyle="stop" operator="between" showDropDown="false" showErrorMessage="false" showInputMessage="false" sqref="C6:E6 C9:E11 C14:E16 C19:E21 C24:E25 C29:E31 C34:E36" type="list">
      <formula1>"PASS,FAIL"</formula1>
      <formula2>0</formula2>
    </dataValidation>
    <dataValidation allowBlank="true" errorStyle="stop" operator="between" showDropDown="false" showErrorMessage="false" showInputMessage="false" sqref="C26" type="list">
      <formula1>"OK,NOT OK"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2026-08-11T08:07:07Z</dcterms:created>
  <dc:creator>openpyxl</dc:creator>
  <dc:description/>
  <dc:language>en-US</dc:language>
  <cp:lastModifiedBy/>
  <dcterms:modified xsi:type="dcterms:W3CDTF">2026-08-11T08:07:07Z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